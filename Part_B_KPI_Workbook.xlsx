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\Desktop\urban_company_service_ops_project\"/>
    </mc:Choice>
  </mc:AlternateContent>
  <xr:revisionPtr revIDLastSave="0" documentId="8_{6A5208E5-588E-42C2-BD3B-E19F2893B27F}" xr6:coauthVersionLast="47" xr6:coauthVersionMax="47" xr10:uidLastSave="{00000000-0000-0000-0000-000000000000}"/>
  <bookViews>
    <workbookView xWindow="-108" yWindow="-108" windowWidth="23256" windowHeight="12456" activeTab="1" xr2:uid="{C8F4C45B-A7C1-414D-BE76-338D9BE3FDC8}"/>
  </bookViews>
  <sheets>
    <sheet name="Revenue Pivot" sheetId="3" r:id="rId1"/>
    <sheet name="KPI Summary" sheetId="5" r:id="rId2"/>
    <sheet name="City-Category Data" sheetId="2" r:id="rId3"/>
    <sheet name="Category Reference" sheetId="1" r:id="rId4"/>
  </sheets>
  <definedNames>
    <definedName name="ExternalData_1" localSheetId="2" hidden="1">'City-Category Data'!$A$1:$E$29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2" i="5"/>
  <c r="C3" i="5"/>
  <c r="C4" i="5"/>
  <c r="C5" i="5"/>
  <c r="C6" i="5"/>
  <c r="C7" i="5"/>
  <c r="C2" i="5"/>
  <c r="B3" i="5"/>
  <c r="F3" i="5" s="1"/>
  <c r="B4" i="5"/>
  <c r="F4" i="5" s="1"/>
  <c r="B5" i="5"/>
  <c r="F5" i="5" s="1"/>
  <c r="B6" i="5"/>
  <c r="F6" i="5" s="1"/>
  <c r="B7" i="5"/>
  <c r="F7" i="5" s="1"/>
  <c r="B2" i="5"/>
  <c r="F2" i="5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E517C-ED7B-41EB-B3BA-8795A7E2CA8D}" keepAlive="1" name="Query - city_category_summary" description="Connection to the 'city_category_summary' query in the workbook." type="5" refreshedVersion="8" background="1" saveData="1">
    <dbPr connection="Provider=Microsoft.Mashup.OleDb.1;Data Source=$Workbook$;Location=city_category_summary;Extended Properties=&quot;&quot;" command="SELECT * FROM [city_category_summary]"/>
  </connection>
</connections>
</file>

<file path=xl/sharedStrings.xml><?xml version="1.0" encoding="utf-8"?>
<sst xmlns="http://schemas.openxmlformats.org/spreadsheetml/2006/main" count="101" uniqueCount="30">
  <si>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</si>
  <si>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</si>
  <si>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</si>
  <si>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</si>
  <si>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</si>
  <si>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</si>
  <si>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</si>
  <si>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</si>
  <si>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</si>
  <si>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</si>
  <si>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</si>
  <si>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</si>
  <si>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</si>
  <si>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</si>
  <si>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</si>
  <si>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</si>
  <si>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</si>
  <si>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min_price_inr</t>
  </si>
  <si>
    <t>max_price_inr</t>
  </si>
  <si>
    <t>Row Labels</t>
  </si>
  <si>
    <t>(blank)</t>
  </si>
  <si>
    <t>Grand Total</t>
  </si>
  <si>
    <t>Column Labels</t>
  </si>
  <si>
    <t>Sum of revenue_inr</t>
  </si>
  <si>
    <t>total_revenue_inr</t>
  </si>
  <si>
    <t>total_sla_breaches</t>
  </si>
  <si>
    <t>city_category_combinations</t>
  </si>
  <si>
    <t>expected_sql_revenue_inr</t>
  </si>
  <si>
    <t>Matches Part A SQL total?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</si>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</sst>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298.978534606482" createdVersion="8" refreshedVersion="8" minRefreshableVersion="3" recordCount="28" xr:uid="{31A24A77-6E38-4C31-9A4B-4AE9FBD949B4}">
  <cacheSource type="worksheet">
    <worksheetSource name="city_category_summary"/>
  </cacheSource>
  <cacheFields count="7">
    <cacheField name="city" numFmtId="0">
      <sharedItems containsBlank="1" count="7">
        <s v="Bengaluru"/>
        <s v="Chennai"/>
        <s v="Delhi NCR"/>
        <s v="Hyderabad"/>
        <s v="Mumbai"/>
        <s v="Pune"/>
        <m/>
      </sharedItems>
    </cacheField>
    <cacheField name="category" numFmtId="0">
      <sharedItems containsBlank="1" count="7">
        <s v="AC Repair &amp; Service"/>
        <s v="Deep Home Cleaning"/>
        <s v="Electrical Repair"/>
        <s v="Salon for Men"/>
        <s v="Salon for Women"/>
        <s v="Plumbing"/>
        <m/>
      </sharedItems>
    </cacheField>
    <cacheField name="bookings_count" numFmtId="0">
      <sharedItems containsString="0" containsBlank="1" containsNumber="1" containsInteger="1" minValue="6" maxValue="63"/>
    </cacheField>
    <cacheField name="revenue_inr" numFmtId="0">
      <sharedItems containsString="0" containsBlank="1" containsNumber="1" containsInteger="1" minValue="11360" maxValue="121469"/>
    </cacheField>
    <cacheField name="sla_breaches" numFmtId="0">
      <sharedItems containsString="0" containsBlank="1" containsNumber="1" containsInteger="1" minValue="0" maxValue="9"/>
    </cacheField>
    <cacheField name="min_price_inr" numFmtId="0">
      <sharedItems containsString="0" containsBlank="1" containsNumber="1" containsInteger="1" minValue="199" maxValue="999"/>
    </cacheField>
    <cacheField name="max_price_inr" numFmtId="0">
      <sharedItems containsString="0" containsBlank="1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  <r>
    <x v="6"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4EE08-01F6-44D3-959B-245D6AD8DA3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2" firstHeaderRow="1" firstDataRow="2" firstDataCol="1"/>
  <pivotFields count="7">
    <pivotField axis="axisRow" showAll="0">
      <items count="8">
        <item x="4"/>
        <item x="0"/>
        <item x="1"/>
        <item x="2"/>
        <item x="3"/>
        <item x="5"/>
        <item x="6"/>
        <item t="default"/>
      </items>
    </pivotField>
    <pivotField axis="axisCol" showAll="0">
      <items count="8">
        <item x="0"/>
        <item x="1"/>
        <item x="2"/>
        <item x="5"/>
        <item x="3"/>
        <item x="4"/>
        <item x="6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_in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0BABC6-A49F-4F4C-9594-1C88D1522BDC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ity" tableColumnId="1"/>
      <queryTableField id="2" name="category" tableColumnId="2"/>
      <queryTableField id="3" name="bookings_count" tableColumnId="3"/>
      <queryTableField id="4" name="revenue_inr" tableColumnId="4"/>
      <queryTableField id="5" name="sla_breaches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F7382-14BC-4F64-A919-02B747C1E849}" name="city_category_summary" displayName="city_category_summary" ref="A1:G29" tableType="queryTable" totalsRowShown="0">
  <autoFilter ref="A1:G29" xr:uid="{1ABF7382-14BC-4F64-A919-02B747C1E849}"/>
  <tableColumns count="7">
    <tableColumn id="1" xr3:uid="{96253F41-CF87-43CD-B058-FF8DA2AD57DB}" uniqueName="1" name="city" queryTableFieldId="1" dataDxfId="6"/>
    <tableColumn id="2" xr3:uid="{9E54CD58-95C6-4E14-BAB9-8BFF6D83E919}" uniqueName="2" name="category" queryTableFieldId="2" dataDxfId="5"/>
    <tableColumn id="3" xr3:uid="{8F2002B5-3544-4CB8-A693-26660CA87FF6}" uniqueName="3" name="bookings_count" queryTableFieldId="3"/>
    <tableColumn id="4" xr3:uid="{0AD12677-4906-4005-906C-888E7CA760D6}" uniqueName="4" name="revenue_inr" queryTableFieldId="4"/>
    <tableColumn id="5" xr3:uid="{2B14843C-B0E2-4E30-8FF0-1E59C7A9448F}" uniqueName="5" name="sla_breaches" queryTableFieldId="5"/>
    <tableColumn id="6" xr3:uid="{C804F9FC-5A17-4ACB-9FAA-35AA051B53B0}" uniqueName="6" name="min_price_inr" queryTableFieldId="6" dataDxfId="3">
      <calculatedColumnFormula>VLOOKUP(B2,'Category Reference'!$A$2:$C$7,2,FALSE)</calculatedColumnFormula>
    </tableColumn>
    <tableColumn id="7" xr3:uid="{8188666A-3CB5-4F4A-B92F-CC79B467299A}" uniqueName="7" name="max_price_inr" queryTableFieldId="7">
      <calculatedColumnFormula>VLOOKUP(B2,'Category Reference'!$A$2:$C$7,3,FALSE)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128862-4214-4E0F-806F-506EE0D0674F}" name="Table2" displayName="Table2" ref="A1:C7" totalsRowShown="0" headerRowDxfId="4">
  <autoFilter ref="A1:C7" xr:uid="{95128862-4214-4E0F-806F-506EE0D0674F}"/>
  <tableColumns count="3">
    <tableColumn id="1" xr3:uid="{52756331-F85F-4832-B500-9B9E6F77BB88}" name="category"/>
    <tableColumn id="2" xr3:uid="{BB99129A-9EA0-474C-982C-11C95C457FEC}" name="min_price_inr"/>
    <tableColumn id="3" xr3:uid="{4D3354F0-7F98-4D71-8C1B-BA944D8BD754}" name="max_price_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888A-0EA4-4B83-9133-C56B911F5890}">
  <dimension ref="A3:I12"/>
  <sheetViews>
    <sheetView workbookViewId="0">
      <selection activeCell="H5" sqref="H5"/>
    </sheetView>
  </sheetViews>
  <sheetFormatPr defaultRowHeight="14.4" x14ac:dyDescent="0.3"/>
  <cols>
    <col min="1" max="1" width="17.77734375" bestFit="1" customWidth="1"/>
    <col min="2" max="2" width="17.6640625" bestFit="1" customWidth="1"/>
    <col min="3" max="3" width="18.6640625" bestFit="1" customWidth="1"/>
    <col min="4" max="4" width="14.33203125" bestFit="1" customWidth="1"/>
    <col min="5" max="5" width="9" bestFit="1" customWidth="1"/>
    <col min="6" max="6" width="12.88671875" bestFit="1" customWidth="1"/>
    <col min="7" max="7" width="15.77734375" bestFit="1" customWidth="1"/>
    <col min="8" max="8" width="7" bestFit="1" customWidth="1"/>
    <col min="9" max="9" width="10.77734375" bestFit="1" customWidth="1"/>
    <col min="10" max="10" width="17.77734375" bestFit="1" customWidth="1"/>
    <col min="11" max="11" width="18.44140625" bestFit="1" customWidth="1"/>
    <col min="12" max="12" width="17.77734375" bestFit="1" customWidth="1"/>
    <col min="13" max="13" width="18.44140625" bestFit="1" customWidth="1"/>
    <col min="14" max="14" width="17.77734375" bestFit="1" customWidth="1"/>
    <col min="15" max="15" width="18.44140625" bestFit="1" customWidth="1"/>
    <col min="16" max="16" width="22.5546875" bestFit="1" customWidth="1"/>
    <col min="17" max="17" width="23.21875" bestFit="1" customWidth="1"/>
  </cols>
  <sheetData>
    <row r="3" spans="1:9" x14ac:dyDescent="0.3">
      <c r="A3" s="3" t="s">
        <v>23</v>
      </c>
      <c r="B3" s="3" t="s">
        <v>22</v>
      </c>
    </row>
    <row r="4" spans="1:9" x14ac:dyDescent="0.3">
      <c r="A4" s="3" t="s">
        <v>19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20</v>
      </c>
      <c r="I4" t="s">
        <v>21</v>
      </c>
    </row>
    <row r="5" spans="1:9" x14ac:dyDescent="0.3">
      <c r="A5" s="4" t="s">
        <v>15</v>
      </c>
      <c r="B5" s="1">
        <v>29050</v>
      </c>
      <c r="C5" s="1">
        <v>73938</v>
      </c>
      <c r="D5" s="1">
        <v>11360</v>
      </c>
      <c r="E5" s="1"/>
      <c r="F5" s="1">
        <v>23901</v>
      </c>
      <c r="G5" s="1">
        <v>13181</v>
      </c>
      <c r="H5" s="1"/>
      <c r="I5" s="1">
        <v>151430</v>
      </c>
    </row>
    <row r="6" spans="1:9" x14ac:dyDescent="0.3">
      <c r="A6" s="4" t="s">
        <v>5</v>
      </c>
      <c r="B6" s="1">
        <v>61229</v>
      </c>
      <c r="C6" s="1">
        <v>49592</v>
      </c>
      <c r="D6" s="1">
        <v>23082</v>
      </c>
      <c r="E6" s="1"/>
      <c r="F6" s="1">
        <v>13565</v>
      </c>
      <c r="G6" s="1">
        <v>32367</v>
      </c>
      <c r="H6" s="1"/>
      <c r="I6" s="1">
        <v>179835</v>
      </c>
    </row>
    <row r="7" spans="1:9" x14ac:dyDescent="0.3">
      <c r="A7" s="4" t="s">
        <v>11</v>
      </c>
      <c r="B7" s="1"/>
      <c r="C7" s="1">
        <v>109499</v>
      </c>
      <c r="D7" s="1">
        <v>13044</v>
      </c>
      <c r="E7" s="1">
        <v>53029</v>
      </c>
      <c r="F7" s="1"/>
      <c r="G7" s="1"/>
      <c r="H7" s="1"/>
      <c r="I7" s="1">
        <v>175572</v>
      </c>
    </row>
    <row r="8" spans="1:9" x14ac:dyDescent="0.3">
      <c r="A8" s="4" t="s">
        <v>13</v>
      </c>
      <c r="B8" s="1">
        <v>22760</v>
      </c>
      <c r="C8" s="1">
        <v>63041</v>
      </c>
      <c r="D8" s="1">
        <v>12585</v>
      </c>
      <c r="E8" s="1">
        <v>16065</v>
      </c>
      <c r="F8" s="1"/>
      <c r="G8" s="1">
        <v>26320</v>
      </c>
      <c r="H8" s="1"/>
      <c r="I8" s="1">
        <v>140771</v>
      </c>
    </row>
    <row r="9" spans="1:9" x14ac:dyDescent="0.3">
      <c r="A9" s="4" t="s">
        <v>14</v>
      </c>
      <c r="B9" s="1"/>
      <c r="C9" s="1">
        <v>91425</v>
      </c>
      <c r="D9" s="1">
        <v>29032</v>
      </c>
      <c r="E9" s="1">
        <v>11743</v>
      </c>
      <c r="F9" s="1">
        <v>22289</v>
      </c>
      <c r="G9" s="1">
        <v>17149</v>
      </c>
      <c r="H9" s="1"/>
      <c r="I9" s="1">
        <v>171638</v>
      </c>
    </row>
    <row r="10" spans="1:9" x14ac:dyDescent="0.3">
      <c r="A10" s="4" t="s">
        <v>16</v>
      </c>
      <c r="B10" s="1"/>
      <c r="C10" s="1">
        <v>121469</v>
      </c>
      <c r="D10" s="1">
        <v>30778</v>
      </c>
      <c r="E10" s="1"/>
      <c r="F10" s="1">
        <v>13808</v>
      </c>
      <c r="G10" s="1">
        <v>62672</v>
      </c>
      <c r="H10" s="1"/>
      <c r="I10" s="1">
        <v>228727</v>
      </c>
    </row>
    <row r="11" spans="1:9" x14ac:dyDescent="0.3">
      <c r="A11" s="4" t="s">
        <v>20</v>
      </c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4" t="s">
        <v>21</v>
      </c>
      <c r="B12" s="1">
        <v>113039</v>
      </c>
      <c r="C12" s="1">
        <v>508964</v>
      </c>
      <c r="D12" s="1">
        <v>119881</v>
      </c>
      <c r="E12" s="1">
        <v>80837</v>
      </c>
      <c r="F12" s="1">
        <v>73563</v>
      </c>
      <c r="G12" s="1">
        <v>151689</v>
      </c>
      <c r="H12" s="1"/>
      <c r="I12" s="1">
        <v>1047973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A276-91E5-4393-B6AC-8DE1AC5FCCEC}">
  <dimension ref="A1:F7"/>
  <sheetViews>
    <sheetView tabSelected="1" zoomScale="117" workbookViewId="0">
      <selection activeCell="D16" sqref="D16"/>
    </sheetView>
  </sheetViews>
  <sheetFormatPr defaultRowHeight="14.4" x14ac:dyDescent="0.3"/>
  <cols>
    <col min="1" max="1" width="14.77734375" customWidth="1"/>
    <col min="2" max="2" width="29.33203125" customWidth="1"/>
    <col min="3" max="3" width="17.77734375" customWidth="1"/>
    <col min="4" max="4" width="26.6640625" customWidth="1"/>
    <col min="5" max="5" width="24.5546875" customWidth="1"/>
    <col min="6" max="6" width="22.6640625" customWidth="1"/>
  </cols>
  <sheetData>
    <row r="1" spans="1:6" x14ac:dyDescent="0.3">
      <c r="A1" s="5" t="s">
        <v>29</v>
      </c>
      <c r="B1" s="5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spans="1:6" x14ac:dyDescent="0.3">
      <c r="A2" s="6" t="s">
        <v>16</v>
      </c>
      <c r="B2" s="6">
        <f>SUMIFS('City-Category Data'!$D$2:$D$28,'City-Category Data'!$A$2:$A$28,$A2)</f>
        <v>228727</v>
      </c>
      <c r="C2">
        <f>SUMIFS('City-Category Data'!$E$2:$E$28,'City-Category Data'!$A$2:$A$28,$A2)</f>
        <v>14</v>
      </c>
      <c r="D2">
        <f>COUNTIFS('City-Category Data'!$A$2:$A$28,$A2)</f>
        <v>4</v>
      </c>
      <c r="E2">
        <v>228727</v>
      </c>
      <c r="F2" t="str">
        <f>IF(B2=E2,"Yes","No")</f>
        <v>Yes</v>
      </c>
    </row>
    <row r="3" spans="1:6" x14ac:dyDescent="0.3">
      <c r="A3" s="6" t="s">
        <v>5</v>
      </c>
      <c r="B3" s="6">
        <f>SUMIFS('City-Category Data'!$D$2:$D$28,'City-Category Data'!$A$2:$A$28,$A3)</f>
        <v>179835</v>
      </c>
      <c r="C3">
        <f>SUMIFS('City-Category Data'!$E$2:$E$28,'City-Category Data'!$A$2:$A$28,$A3)</f>
        <v>17</v>
      </c>
      <c r="D3">
        <f>COUNTIFS('City-Category Data'!$A$2:$A$28,$A3)</f>
        <v>5</v>
      </c>
      <c r="E3" s="6">
        <v>179835</v>
      </c>
      <c r="F3" t="str">
        <f>IF(B3=E3,"Yes","No")</f>
        <v>Yes</v>
      </c>
    </row>
    <row r="4" spans="1:6" x14ac:dyDescent="0.3">
      <c r="A4" s="6" t="s">
        <v>11</v>
      </c>
      <c r="B4" s="6">
        <f>SUMIFS('City-Category Data'!$D$2:$D$28,'City-Category Data'!$A$2:$A$28,$A4)</f>
        <v>175572</v>
      </c>
      <c r="C4">
        <f>SUMIFS('City-Category Data'!$E$2:$E$28,'City-Category Data'!$A$2:$A$28,$A4)</f>
        <v>15</v>
      </c>
      <c r="D4">
        <f>COUNTIFS('City-Category Data'!$A$2:$A$28,$A4)</f>
        <v>3</v>
      </c>
      <c r="E4" s="6">
        <v>175572</v>
      </c>
      <c r="F4" t="str">
        <f>IF(B4=E4,"Yes","No")</f>
        <v>Yes</v>
      </c>
    </row>
    <row r="5" spans="1:6" x14ac:dyDescent="0.3">
      <c r="A5" s="6" t="s">
        <v>14</v>
      </c>
      <c r="B5" s="6">
        <f>SUMIFS('City-Category Data'!$D$2:$D$28,'City-Category Data'!$A$2:$A$28,$A5)</f>
        <v>171638</v>
      </c>
      <c r="C5">
        <f>SUMIFS('City-Category Data'!$E$2:$E$28,'City-Category Data'!$A$2:$A$28,$A5)</f>
        <v>14</v>
      </c>
      <c r="D5">
        <f>COUNTIFS('City-Category Data'!$A$2:$A$28,$A5)</f>
        <v>5</v>
      </c>
      <c r="E5" s="6">
        <v>171638</v>
      </c>
      <c r="F5" t="str">
        <f>IF(B5=E5,"Yes","No")</f>
        <v>Yes</v>
      </c>
    </row>
    <row r="6" spans="1:6" x14ac:dyDescent="0.3">
      <c r="A6" s="6" t="s">
        <v>15</v>
      </c>
      <c r="B6" s="6">
        <f>SUMIFS('City-Category Data'!$D$2:$D$28,'City-Category Data'!$A$2:$A$28,$A6)</f>
        <v>151430</v>
      </c>
      <c r="C6">
        <f>SUMIFS('City-Category Data'!$E$2:$E$28,'City-Category Data'!$A$2:$A$28,$A6)</f>
        <v>13</v>
      </c>
      <c r="D6">
        <f>COUNTIFS('City-Category Data'!$A$2:$A$28,$A6)</f>
        <v>5</v>
      </c>
      <c r="E6" s="6">
        <v>151430</v>
      </c>
      <c r="F6" t="str">
        <f>IF(B6=E6,"Yes","No")</f>
        <v>Yes</v>
      </c>
    </row>
    <row r="7" spans="1:6" x14ac:dyDescent="0.3">
      <c r="A7" s="6" t="s">
        <v>13</v>
      </c>
      <c r="B7" s="6">
        <f>SUMIFS('City-Category Data'!$D$2:$D$28,'City-Category Data'!$A$2:$A$28,$A7)</f>
        <v>140771</v>
      </c>
      <c r="C7">
        <f>SUMIFS('City-Category Data'!$E$2:$E$28,'City-Category Data'!$A$2:$A$28,$A7)</f>
        <v>6</v>
      </c>
      <c r="D7">
        <f>COUNTIFS('City-Category Data'!$A$2:$A$28,$A7)</f>
        <v>5</v>
      </c>
      <c r="E7" s="6">
        <v>140771</v>
      </c>
      <c r="F7" t="str">
        <f>IF(B7=E7,"Yes","No")</f>
        <v>Yes</v>
      </c>
    </row>
  </sheetData>
  <conditionalFormatting sqref="B2:B7">
    <cfRule type="top10" dxfId="0" priority="2" rank="1"/>
    <cfRule type="top10" dxfId="1" priority="1" bottom="1" rank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7400-5CD8-4144-ACD0-290A6A25E622}">
  <dimension ref="A1:G29"/>
  <sheetViews>
    <sheetView workbookViewId="0">
      <selection sqref="A1:G29"/>
    </sheetView>
  </sheetViews>
  <sheetFormatPr defaultRowHeight="14.4" x14ac:dyDescent="0.3"/>
  <cols>
    <col min="1" max="1" width="19.88671875" customWidth="1"/>
    <col min="2" max="2" width="23.5546875" customWidth="1"/>
    <col min="3" max="3" width="22.44140625" customWidth="1"/>
    <col min="4" max="4" width="25.109375" customWidth="1"/>
    <col min="5" max="5" width="25.77734375" customWidth="1"/>
    <col min="6" max="6" width="17.77734375" customWidth="1"/>
    <col min="7" max="7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3">
      <c r="A2" s="1" t="s">
        <v>5</v>
      </c>
      <c r="B2" s="1" t="s">
        <v>6</v>
      </c>
      <c r="C2">
        <v>40</v>
      </c>
      <c r="D2">
        <v>61229</v>
      </c>
      <c r="E2">
        <v>7</v>
      </c>
      <c r="F2">
        <f>VLOOKUP(B2,'Category Reference'!$A$2:$C$7,2,FALSE)</f>
        <v>499</v>
      </c>
      <c r="G2">
        <f>VLOOKUP(B2,'Category Reference'!$A$2:$C$7,3,FALSE)</f>
        <v>2499</v>
      </c>
    </row>
    <row r="3" spans="1:7" x14ac:dyDescent="0.3">
      <c r="A3" s="1" t="s">
        <v>5</v>
      </c>
      <c r="B3" s="1" t="s">
        <v>7</v>
      </c>
      <c r="C3">
        <v>18</v>
      </c>
      <c r="D3">
        <v>49592</v>
      </c>
      <c r="E3">
        <v>2</v>
      </c>
      <c r="F3">
        <f>VLOOKUP(B3,'Category Reference'!$A$2:$C$7,2,FALSE)</f>
        <v>999</v>
      </c>
      <c r="G3">
        <f>VLOOKUP(B3,'Category Reference'!$A$2:$C$7,3,FALSE)</f>
        <v>4999</v>
      </c>
    </row>
    <row r="4" spans="1:7" x14ac:dyDescent="0.3">
      <c r="A4" s="1" t="s">
        <v>5</v>
      </c>
      <c r="B4" s="1" t="s">
        <v>8</v>
      </c>
      <c r="C4">
        <v>19</v>
      </c>
      <c r="D4">
        <v>23082</v>
      </c>
      <c r="E4">
        <v>3</v>
      </c>
      <c r="F4">
        <f>VLOOKUP(B4,'Category Reference'!$A$2:$C$7,2,FALSE)</f>
        <v>199</v>
      </c>
      <c r="G4">
        <f>VLOOKUP(B4,'Category Reference'!$A$2:$C$7,3,FALSE)</f>
        <v>1999</v>
      </c>
    </row>
    <row r="5" spans="1:7" x14ac:dyDescent="0.3">
      <c r="A5" s="1" t="s">
        <v>5</v>
      </c>
      <c r="B5" s="1" t="s">
        <v>9</v>
      </c>
      <c r="C5">
        <v>14</v>
      </c>
      <c r="D5">
        <v>13565</v>
      </c>
      <c r="E5">
        <v>3</v>
      </c>
      <c r="F5">
        <f>VLOOKUP(B5,'Category Reference'!$A$2:$C$7,2,FALSE)</f>
        <v>349</v>
      </c>
      <c r="G5">
        <f>VLOOKUP(B5,'Category Reference'!$A$2:$C$7,3,FALSE)</f>
        <v>1499</v>
      </c>
    </row>
    <row r="6" spans="1:7" x14ac:dyDescent="0.3">
      <c r="A6" s="1" t="s">
        <v>5</v>
      </c>
      <c r="B6" s="1" t="s">
        <v>10</v>
      </c>
      <c r="C6">
        <v>16</v>
      </c>
      <c r="D6">
        <v>32367</v>
      </c>
      <c r="E6">
        <v>2</v>
      </c>
      <c r="F6">
        <f>VLOOKUP(B6,'Category Reference'!$A$2:$C$7,2,FALSE)</f>
        <v>699</v>
      </c>
      <c r="G6">
        <f>VLOOKUP(B6,'Category Reference'!$A$2:$C$7,3,FALSE)</f>
        <v>3499</v>
      </c>
    </row>
    <row r="7" spans="1:7" x14ac:dyDescent="0.3">
      <c r="A7" s="1" t="s">
        <v>11</v>
      </c>
      <c r="B7" s="1" t="s">
        <v>7</v>
      </c>
      <c r="C7">
        <v>37</v>
      </c>
      <c r="D7">
        <v>109499</v>
      </c>
      <c r="E7">
        <v>5</v>
      </c>
      <c r="F7">
        <f>VLOOKUP(B7,'Category Reference'!$A$2:$C$7,2,FALSE)</f>
        <v>999</v>
      </c>
      <c r="G7">
        <f>VLOOKUP(B7,'Category Reference'!$A$2:$C$7,3,FALSE)</f>
        <v>4999</v>
      </c>
    </row>
    <row r="8" spans="1:7" x14ac:dyDescent="0.3">
      <c r="A8" s="1" t="s">
        <v>11</v>
      </c>
      <c r="B8" s="1" t="s">
        <v>8</v>
      </c>
      <c r="C8">
        <v>13</v>
      </c>
      <c r="D8">
        <v>13044</v>
      </c>
      <c r="E8">
        <v>1</v>
      </c>
      <c r="F8">
        <f>VLOOKUP(B8,'Category Reference'!$A$2:$C$7,2,FALSE)</f>
        <v>199</v>
      </c>
      <c r="G8">
        <f>VLOOKUP(B8,'Category Reference'!$A$2:$C$7,3,FALSE)</f>
        <v>1999</v>
      </c>
    </row>
    <row r="9" spans="1:7" x14ac:dyDescent="0.3">
      <c r="A9" s="1" t="s">
        <v>11</v>
      </c>
      <c r="B9" s="1" t="s">
        <v>12</v>
      </c>
      <c r="C9">
        <v>63</v>
      </c>
      <c r="D9">
        <v>53029</v>
      </c>
      <c r="E9">
        <v>9</v>
      </c>
      <c r="F9">
        <f>VLOOKUP(B9,'Category Reference'!$A$2:$C$7,2,FALSE)</f>
        <v>199</v>
      </c>
      <c r="G9">
        <f>VLOOKUP(B9,'Category Reference'!$A$2:$C$7,3,FALSE)</f>
        <v>1499</v>
      </c>
    </row>
    <row r="10" spans="1:7" x14ac:dyDescent="0.3">
      <c r="A10" s="1" t="s">
        <v>13</v>
      </c>
      <c r="B10" s="1" t="s">
        <v>6</v>
      </c>
      <c r="C10">
        <v>14</v>
      </c>
      <c r="D10">
        <v>22760</v>
      </c>
      <c r="E10">
        <v>0</v>
      </c>
      <c r="F10">
        <f>VLOOKUP(B10,'Category Reference'!$A$2:$C$7,2,FALSE)</f>
        <v>499</v>
      </c>
      <c r="G10">
        <f>VLOOKUP(B10,'Category Reference'!$A$2:$C$7,3,FALSE)</f>
        <v>2499</v>
      </c>
    </row>
    <row r="11" spans="1:7" x14ac:dyDescent="0.3">
      <c r="A11" s="1" t="s">
        <v>13</v>
      </c>
      <c r="B11" s="1" t="s">
        <v>7</v>
      </c>
      <c r="C11">
        <v>25</v>
      </c>
      <c r="D11">
        <v>63041</v>
      </c>
      <c r="E11">
        <v>0</v>
      </c>
      <c r="F11">
        <f>VLOOKUP(B11,'Category Reference'!$A$2:$C$7,2,FALSE)</f>
        <v>999</v>
      </c>
      <c r="G11">
        <f>VLOOKUP(B11,'Category Reference'!$A$2:$C$7,3,FALSE)</f>
        <v>4999</v>
      </c>
    </row>
    <row r="12" spans="1:7" x14ac:dyDescent="0.3">
      <c r="A12" s="1" t="s">
        <v>13</v>
      </c>
      <c r="B12" s="1" t="s">
        <v>8</v>
      </c>
      <c r="C12">
        <v>12</v>
      </c>
      <c r="D12">
        <v>12585</v>
      </c>
      <c r="E12">
        <v>1</v>
      </c>
      <c r="F12">
        <f>VLOOKUP(B12,'Category Reference'!$A$2:$C$7,2,FALSE)</f>
        <v>199</v>
      </c>
      <c r="G12">
        <f>VLOOKUP(B12,'Category Reference'!$A$2:$C$7,3,FALSE)</f>
        <v>1999</v>
      </c>
    </row>
    <row r="13" spans="1:7" x14ac:dyDescent="0.3">
      <c r="A13" s="1" t="s">
        <v>13</v>
      </c>
      <c r="B13" s="1" t="s">
        <v>12</v>
      </c>
      <c r="C13">
        <v>19</v>
      </c>
      <c r="D13">
        <v>16065</v>
      </c>
      <c r="E13">
        <v>3</v>
      </c>
      <c r="F13">
        <f>VLOOKUP(B13,'Category Reference'!$A$2:$C$7,2,FALSE)</f>
        <v>199</v>
      </c>
      <c r="G13">
        <f>VLOOKUP(B13,'Category Reference'!$A$2:$C$7,3,FALSE)</f>
        <v>1499</v>
      </c>
    </row>
    <row r="14" spans="1:7" x14ac:dyDescent="0.3">
      <c r="A14" s="1" t="s">
        <v>13</v>
      </c>
      <c r="B14" s="1" t="s">
        <v>10</v>
      </c>
      <c r="C14">
        <v>13</v>
      </c>
      <c r="D14">
        <v>26320</v>
      </c>
      <c r="E14">
        <v>2</v>
      </c>
      <c r="F14">
        <f>VLOOKUP(B14,'Category Reference'!$A$2:$C$7,2,FALSE)</f>
        <v>699</v>
      </c>
      <c r="G14">
        <f>VLOOKUP(B14,'Category Reference'!$A$2:$C$7,3,FALSE)</f>
        <v>3499</v>
      </c>
    </row>
    <row r="15" spans="1:7" x14ac:dyDescent="0.3">
      <c r="A15" s="1" t="s">
        <v>14</v>
      </c>
      <c r="B15" s="1" t="s">
        <v>7</v>
      </c>
      <c r="C15">
        <v>29</v>
      </c>
      <c r="D15">
        <v>91425</v>
      </c>
      <c r="E15">
        <v>4</v>
      </c>
      <c r="F15">
        <f>VLOOKUP(B15,'Category Reference'!$A$2:$C$7,2,FALSE)</f>
        <v>999</v>
      </c>
      <c r="G15">
        <f>VLOOKUP(B15,'Category Reference'!$A$2:$C$7,3,FALSE)</f>
        <v>4999</v>
      </c>
    </row>
    <row r="16" spans="1:7" x14ac:dyDescent="0.3">
      <c r="A16" s="1" t="s">
        <v>14</v>
      </c>
      <c r="B16" s="1" t="s">
        <v>8</v>
      </c>
      <c r="C16">
        <v>27</v>
      </c>
      <c r="D16">
        <v>29032</v>
      </c>
      <c r="E16">
        <v>3</v>
      </c>
      <c r="F16">
        <f>VLOOKUP(B16,'Category Reference'!$A$2:$C$7,2,FALSE)</f>
        <v>199</v>
      </c>
      <c r="G16">
        <f>VLOOKUP(B16,'Category Reference'!$A$2:$C$7,3,FALSE)</f>
        <v>1999</v>
      </c>
    </row>
    <row r="17" spans="1:7" x14ac:dyDescent="0.3">
      <c r="A17" s="1" t="s">
        <v>14</v>
      </c>
      <c r="B17" s="1" t="s">
        <v>12</v>
      </c>
      <c r="C17">
        <v>13</v>
      </c>
      <c r="D17">
        <v>11743</v>
      </c>
      <c r="E17">
        <v>1</v>
      </c>
      <c r="F17">
        <f>VLOOKUP(B17,'Category Reference'!$A$2:$C$7,2,FALSE)</f>
        <v>199</v>
      </c>
      <c r="G17">
        <f>VLOOKUP(B17,'Category Reference'!$A$2:$C$7,3,FALSE)</f>
        <v>1499</v>
      </c>
    </row>
    <row r="18" spans="1:7" x14ac:dyDescent="0.3">
      <c r="A18" s="1" t="s">
        <v>14</v>
      </c>
      <c r="B18" s="1" t="s">
        <v>9</v>
      </c>
      <c r="C18">
        <v>23</v>
      </c>
      <c r="D18">
        <v>22289</v>
      </c>
      <c r="E18">
        <v>5</v>
      </c>
      <c r="F18">
        <f>VLOOKUP(B18,'Category Reference'!$A$2:$C$7,2,FALSE)</f>
        <v>349</v>
      </c>
      <c r="G18">
        <f>VLOOKUP(B18,'Category Reference'!$A$2:$C$7,3,FALSE)</f>
        <v>1499</v>
      </c>
    </row>
    <row r="19" spans="1:7" x14ac:dyDescent="0.3">
      <c r="A19" s="1" t="s">
        <v>14</v>
      </c>
      <c r="B19" s="1" t="s">
        <v>10</v>
      </c>
      <c r="C19">
        <v>6</v>
      </c>
      <c r="D19">
        <v>17149</v>
      </c>
      <c r="E19">
        <v>1</v>
      </c>
      <c r="F19">
        <f>VLOOKUP(B19,'Category Reference'!$A$2:$C$7,2,FALSE)</f>
        <v>699</v>
      </c>
      <c r="G19">
        <f>VLOOKUP(B19,'Category Reference'!$A$2:$C$7,3,FALSE)</f>
        <v>3499</v>
      </c>
    </row>
    <row r="20" spans="1:7" x14ac:dyDescent="0.3">
      <c r="A20" s="1" t="s">
        <v>15</v>
      </c>
      <c r="B20" s="1" t="s">
        <v>6</v>
      </c>
      <c r="C20">
        <v>20</v>
      </c>
      <c r="D20">
        <v>29050</v>
      </c>
      <c r="E20">
        <v>4</v>
      </c>
      <c r="F20">
        <f>VLOOKUP(B20,'Category Reference'!$A$2:$C$7,2,FALSE)</f>
        <v>499</v>
      </c>
      <c r="G20">
        <f>VLOOKUP(B20,'Category Reference'!$A$2:$C$7,3,FALSE)</f>
        <v>2499</v>
      </c>
    </row>
    <row r="21" spans="1:7" x14ac:dyDescent="0.3">
      <c r="A21" s="1" t="s">
        <v>15</v>
      </c>
      <c r="B21" s="1" t="s">
        <v>7</v>
      </c>
      <c r="C21">
        <v>28</v>
      </c>
      <c r="D21">
        <v>73938</v>
      </c>
      <c r="E21">
        <v>1</v>
      </c>
      <c r="F21">
        <f>VLOOKUP(B21,'Category Reference'!$A$2:$C$7,2,FALSE)</f>
        <v>999</v>
      </c>
      <c r="G21">
        <f>VLOOKUP(B21,'Category Reference'!$A$2:$C$7,3,FALSE)</f>
        <v>4999</v>
      </c>
    </row>
    <row r="22" spans="1:7" x14ac:dyDescent="0.3">
      <c r="A22" s="1" t="s">
        <v>15</v>
      </c>
      <c r="B22" s="1" t="s">
        <v>8</v>
      </c>
      <c r="C22">
        <v>11</v>
      </c>
      <c r="D22">
        <v>11360</v>
      </c>
      <c r="E22">
        <v>2</v>
      </c>
      <c r="F22">
        <f>VLOOKUP(B22,'Category Reference'!$A$2:$C$7,2,FALSE)</f>
        <v>199</v>
      </c>
      <c r="G22">
        <f>VLOOKUP(B22,'Category Reference'!$A$2:$C$7,3,FALSE)</f>
        <v>1999</v>
      </c>
    </row>
    <row r="23" spans="1:7" x14ac:dyDescent="0.3">
      <c r="A23" s="1" t="s">
        <v>15</v>
      </c>
      <c r="B23" s="1" t="s">
        <v>9</v>
      </c>
      <c r="C23">
        <v>27</v>
      </c>
      <c r="D23">
        <v>23901</v>
      </c>
      <c r="E23">
        <v>5</v>
      </c>
      <c r="F23">
        <f>VLOOKUP(B23,'Category Reference'!$A$2:$C$7,2,FALSE)</f>
        <v>349</v>
      </c>
      <c r="G23">
        <f>VLOOKUP(B23,'Category Reference'!$A$2:$C$7,3,FALSE)</f>
        <v>1499</v>
      </c>
    </row>
    <row r="24" spans="1:7" x14ac:dyDescent="0.3">
      <c r="A24" s="1" t="s">
        <v>15</v>
      </c>
      <c r="B24" s="1" t="s">
        <v>10</v>
      </c>
      <c r="C24">
        <v>6</v>
      </c>
      <c r="D24">
        <v>13181</v>
      </c>
      <c r="E24">
        <v>1</v>
      </c>
      <c r="F24">
        <f>VLOOKUP(B24,'Category Reference'!$A$2:$C$7,2,FALSE)</f>
        <v>699</v>
      </c>
      <c r="G24">
        <f>VLOOKUP(B24,'Category Reference'!$A$2:$C$7,3,FALSE)</f>
        <v>3499</v>
      </c>
    </row>
    <row r="25" spans="1:7" x14ac:dyDescent="0.3">
      <c r="A25" s="1" t="s">
        <v>16</v>
      </c>
      <c r="B25" s="1" t="s">
        <v>7</v>
      </c>
      <c r="C25">
        <v>39</v>
      </c>
      <c r="D25">
        <v>121469</v>
      </c>
      <c r="E25">
        <v>9</v>
      </c>
      <c r="F25">
        <f>VLOOKUP(B25,'Category Reference'!$A$2:$C$7,2,FALSE)</f>
        <v>999</v>
      </c>
      <c r="G25">
        <f>VLOOKUP(B25,'Category Reference'!$A$2:$C$7,3,FALSE)</f>
        <v>4999</v>
      </c>
    </row>
    <row r="26" spans="1:7" x14ac:dyDescent="0.3">
      <c r="A26" s="1" t="s">
        <v>16</v>
      </c>
      <c r="B26" s="1" t="s">
        <v>8</v>
      </c>
      <c r="C26">
        <v>30</v>
      </c>
      <c r="D26">
        <v>30778</v>
      </c>
      <c r="E26">
        <v>3</v>
      </c>
      <c r="F26">
        <f>VLOOKUP(B26,'Category Reference'!$A$2:$C$7,2,FALSE)</f>
        <v>199</v>
      </c>
      <c r="G26">
        <f>VLOOKUP(B26,'Category Reference'!$A$2:$C$7,3,FALSE)</f>
        <v>1999</v>
      </c>
    </row>
    <row r="27" spans="1:7" x14ac:dyDescent="0.3">
      <c r="A27" s="1" t="s">
        <v>16</v>
      </c>
      <c r="B27" s="1" t="s">
        <v>9</v>
      </c>
      <c r="C27">
        <v>14</v>
      </c>
      <c r="D27">
        <v>13808</v>
      </c>
      <c r="E27">
        <v>1</v>
      </c>
      <c r="F27">
        <f>VLOOKUP(B27,'Category Reference'!$A$2:$C$7,2,FALSE)</f>
        <v>349</v>
      </c>
      <c r="G27">
        <f>VLOOKUP(B27,'Category Reference'!$A$2:$C$7,3,FALSE)</f>
        <v>1499</v>
      </c>
    </row>
    <row r="28" spans="1:7" x14ac:dyDescent="0.3">
      <c r="A28" s="1" t="s">
        <v>16</v>
      </c>
      <c r="B28" s="1" t="s">
        <v>10</v>
      </c>
      <c r="C28">
        <v>24</v>
      </c>
      <c r="D28">
        <v>62672</v>
      </c>
      <c r="E28">
        <v>1</v>
      </c>
      <c r="F28">
        <f>VLOOKUP(B28,'Category Reference'!$A$2:$C$7,2,FALSE)</f>
        <v>699</v>
      </c>
      <c r="G28">
        <f>VLOOKUP(B28,'Category Reference'!$A$2:$C$7,3,FALSE)</f>
        <v>3499</v>
      </c>
    </row>
    <row r="29" spans="1:7" x14ac:dyDescent="0.3">
      <c r="A29" s="1"/>
      <c r="B29" s="1"/>
      <c r="F2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D14B-364A-42DA-8480-0C5E7A9C362E}">
  <dimension ref="A1:C7"/>
  <sheetViews>
    <sheetView workbookViewId="0">
      <selection activeCell="D19" sqref="D19"/>
    </sheetView>
  </sheetViews>
  <sheetFormatPr defaultRowHeight="14.4" x14ac:dyDescent="0.3"/>
  <cols>
    <col min="1" max="1" width="17.33203125" customWidth="1"/>
    <col min="2" max="2" width="14.44140625" customWidth="1"/>
    <col min="3" max="3" width="17.44140625" customWidth="1"/>
  </cols>
  <sheetData>
    <row r="1" spans="1:3" x14ac:dyDescent="0.3">
      <c r="A1" s="2" t="s">
        <v>1</v>
      </c>
      <c r="B1" s="2" t="s">
        <v>17</v>
      </c>
      <c r="C1" s="2" t="s">
        <v>18</v>
      </c>
    </row>
    <row r="2" spans="1:3" x14ac:dyDescent="0.3">
      <c r="A2" t="s">
        <v>6</v>
      </c>
      <c r="B2">
        <v>499</v>
      </c>
      <c r="C2">
        <v>2499</v>
      </c>
    </row>
    <row r="3" spans="1:3" x14ac:dyDescent="0.3">
      <c r="A3" t="s">
        <v>10</v>
      </c>
      <c r="B3">
        <v>699</v>
      </c>
      <c r="C3">
        <v>3499</v>
      </c>
    </row>
    <row r="4" spans="1:3" x14ac:dyDescent="0.3">
      <c r="A4" t="s">
        <v>9</v>
      </c>
      <c r="B4">
        <v>349</v>
      </c>
      <c r="C4">
        <v>1499</v>
      </c>
    </row>
    <row r="5" spans="1:3" x14ac:dyDescent="0.3">
      <c r="A5" t="s">
        <v>7</v>
      </c>
      <c r="B5">
        <v>999</v>
      </c>
      <c r="C5">
        <v>4999</v>
      </c>
    </row>
    <row r="6" spans="1:3" x14ac:dyDescent="0.3">
      <c r="A6" t="s">
        <v>12</v>
      </c>
      <c r="B6">
        <v>199</v>
      </c>
      <c r="C6">
        <v>1499</v>
      </c>
    </row>
    <row r="7" spans="1:3" x14ac:dyDescent="0.3">
      <c r="A7" t="s">
        <v>8</v>
      </c>
      <c r="B7">
        <v>199</v>
      </c>
      <c r="C7">
        <v>1999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561F4-BAF2-40B1-9465-23C1827C06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Pivot</vt:lpstr>
      <vt:lpstr>KPI Summary</vt:lpstr>
      <vt:lpstr>City-Category Data</vt:lpstr>
      <vt:lpstr>Category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Gadavi</dc:creator>
  <cp:lastModifiedBy>Laxmi Gadavi</cp:lastModifiedBy>
  <dcterms:created xsi:type="dcterms:W3CDTF">2026-10-03T17:37:54Z</dcterms:created>
  <dcterms:modified xsi:type="dcterms:W3CDTF">2026-10-03T18:29:02Z</dcterms:modified>
</cp:coreProperties>
</file>